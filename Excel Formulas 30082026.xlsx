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7F5313DD-C0A3-4370-A617-792099C6E7A0}" xr6:coauthVersionLast="47" xr6:coauthVersionMax="47" xr10:uidLastSave="{00000000-0000-0000-0000-000000000000}"/>
  <bookViews>
    <workbookView xWindow="28665" yWindow="-45" windowWidth="29070" windowHeight="15750" activeTab="3" xr2:uid="{FFBDAD0F-7CBF-422C-8A0F-52EB078F4AB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4" l="1"/>
  <c r="P7" i="4"/>
  <c r="P6" i="4"/>
  <c r="P5" i="4"/>
  <c r="L11" i="4"/>
  <c r="L10" i="4"/>
  <c r="G30" i="4"/>
  <c r="G29" i="4"/>
  <c r="D23" i="4"/>
  <c r="A21" i="4"/>
  <c r="A12" i="4"/>
  <c r="B9" i="4"/>
  <c r="A9" i="4"/>
  <c r="H37" i="3"/>
  <c r="H36" i="3"/>
  <c r="G37" i="3"/>
  <c r="G36" i="3"/>
  <c r="D37" i="3"/>
  <c r="F37" i="3"/>
  <c r="I37" i="3"/>
  <c r="K37" i="3" s="1"/>
  <c r="J37" i="3"/>
  <c r="K36" i="3"/>
  <c r="J36" i="3"/>
  <c r="F36" i="3"/>
  <c r="D36" i="3"/>
  <c r="I36" i="3" s="1"/>
  <c r="I16" i="3" a="1"/>
  <c r="I16" i="3" s="1"/>
  <c r="J16" i="3" s="1"/>
  <c r="I15" i="3" a="1"/>
  <c r="I15" i="3" s="1"/>
  <c r="J15" i="3" s="1"/>
  <c r="H16" i="3"/>
  <c r="H15" i="3"/>
  <c r="G16" i="3"/>
  <c r="G15" i="3"/>
  <c r="F16" i="3"/>
  <c r="F15" i="3"/>
  <c r="E16" i="3"/>
  <c r="E15" i="3"/>
  <c r="G7" i="3"/>
  <c r="F7" i="3"/>
  <c r="E7" i="3"/>
  <c r="D7" i="3"/>
  <c r="I14" i="2"/>
  <c r="I15" i="2"/>
  <c r="I13" i="2"/>
  <c r="G13" i="2" a="1"/>
  <c r="G13" i="2" s="1"/>
  <c r="H13" i="2" s="1"/>
  <c r="F14" i="2"/>
  <c r="H14" i="2" s="1"/>
  <c r="F15" i="2"/>
  <c r="H15" i="2" s="1"/>
  <c r="F13" i="2"/>
  <c r="G9" i="2"/>
  <c r="F8" i="2"/>
  <c r="G8" i="2" s="1"/>
  <c r="G7" i="2"/>
  <c r="H7" i="2" s="1"/>
  <c r="F6" i="2"/>
  <c r="G6" i="2" s="1"/>
  <c r="H6" i="2" s="1"/>
  <c r="O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N7" i="1"/>
  <c r="N8" i="1"/>
  <c r="N9" i="1"/>
  <c r="N10" i="1"/>
  <c r="N11" i="1"/>
  <c r="N6" i="1"/>
  <c r="M15" i="1"/>
  <c r="M16" i="1"/>
  <c r="M17" i="1"/>
  <c r="M18" i="1"/>
  <c r="M19" i="1"/>
  <c r="K15" i="1"/>
  <c r="J15" i="1"/>
  <c r="L15" i="1" s="1"/>
  <c r="I15" i="1"/>
  <c r="K14" i="1"/>
  <c r="J14" i="1"/>
  <c r="L14" i="1" s="1"/>
  <c r="I14" i="1"/>
  <c r="M8" i="1"/>
  <c r="M9" i="1"/>
  <c r="M10" i="1"/>
  <c r="M11" i="1"/>
  <c r="K7" i="1"/>
  <c r="J7" i="1"/>
  <c r="L7" i="1" s="1"/>
  <c r="I7" i="1"/>
  <c r="K6" i="1"/>
  <c r="J6" i="1"/>
  <c r="L6" i="1" s="1"/>
  <c r="I6" i="1"/>
  <c r="H6" i="1"/>
  <c r="H7" i="3" l="1"/>
  <c r="I7" i="3" s="1"/>
  <c r="M7" i="1"/>
  <c r="M14" i="1"/>
  <c r="M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<sst xmlns="http://schemas.openxmlformats.org/spreadsheetml/2006/main" count="139" uniqueCount="83">
  <si>
    <t>Student Report Card</t>
  </si>
  <si>
    <t>Roll No</t>
  </si>
  <si>
    <t>Name</t>
  </si>
  <si>
    <t xml:space="preserve">Excel </t>
  </si>
  <si>
    <t>Python</t>
  </si>
  <si>
    <t>SQL</t>
  </si>
  <si>
    <t xml:space="preserve">MI </t>
  </si>
  <si>
    <t>GENAI</t>
  </si>
  <si>
    <t>Total Mark Max</t>
  </si>
  <si>
    <t>Max</t>
  </si>
  <si>
    <t>Min</t>
  </si>
  <si>
    <t>Result</t>
  </si>
  <si>
    <t>Grade</t>
  </si>
  <si>
    <t>Average</t>
  </si>
  <si>
    <t>Sum</t>
  </si>
  <si>
    <t>Avg</t>
  </si>
  <si>
    <t>Formula</t>
  </si>
  <si>
    <t>If</t>
  </si>
  <si>
    <t>IF</t>
  </si>
  <si>
    <t>IF and &amp;</t>
  </si>
  <si>
    <t>Bill Calculation</t>
  </si>
  <si>
    <t>Item Code</t>
  </si>
  <si>
    <t>Price</t>
  </si>
  <si>
    <t>Qty</t>
  </si>
  <si>
    <t>Total Amount</t>
  </si>
  <si>
    <t>Discount</t>
  </si>
  <si>
    <t>Total Paid</t>
  </si>
  <si>
    <t>City</t>
  </si>
  <si>
    <t>Pune</t>
  </si>
  <si>
    <t>User</t>
  </si>
  <si>
    <t>Student</t>
  </si>
  <si>
    <t>Teacher</t>
  </si>
  <si>
    <t>Staff</t>
  </si>
  <si>
    <t>With Vlookup</t>
  </si>
  <si>
    <t>only IF</t>
  </si>
  <si>
    <t>Emp ID</t>
  </si>
  <si>
    <t>Salary</t>
  </si>
  <si>
    <t>Basic</t>
  </si>
  <si>
    <t>HRA</t>
  </si>
  <si>
    <t>CCA</t>
  </si>
  <si>
    <t>DA</t>
  </si>
  <si>
    <t>Ajay</t>
  </si>
  <si>
    <t>HRA(10%)</t>
  </si>
  <si>
    <t>CCA(12%)</t>
  </si>
  <si>
    <t>DA(15%)</t>
  </si>
  <si>
    <t>PF(20%)</t>
  </si>
  <si>
    <t>Salary PAYSLIP 1</t>
  </si>
  <si>
    <t>Salary PAYSLIP 2</t>
  </si>
  <si>
    <t>GS (Basic+HRA+CCA+DA)</t>
  </si>
  <si>
    <t>Net Salary (GS-PF)</t>
  </si>
  <si>
    <t>City Type</t>
  </si>
  <si>
    <t>Metro</t>
  </si>
  <si>
    <t>Non Metro</t>
  </si>
  <si>
    <t>&gt;5000</t>
  </si>
  <si>
    <t>Non metro</t>
  </si>
  <si>
    <t>&lt;=5000</t>
  </si>
  <si>
    <t>Rest</t>
  </si>
  <si>
    <t>Salary PAYSLIP 3</t>
  </si>
  <si>
    <t>No of Leaves</t>
  </si>
  <si>
    <t>Leave amount</t>
  </si>
  <si>
    <t>Nemeen</t>
  </si>
  <si>
    <t>Fruits</t>
  </si>
  <si>
    <t>Apple</t>
  </si>
  <si>
    <t>KIVI</t>
  </si>
  <si>
    <t>Orange</t>
  </si>
  <si>
    <t>Count</t>
  </si>
  <si>
    <t>CountA</t>
  </si>
  <si>
    <t>Cost of Item</t>
  </si>
  <si>
    <t>Count if</t>
  </si>
  <si>
    <t>Marks</t>
  </si>
  <si>
    <t>count how many students are passed, passing=40</t>
  </si>
  <si>
    <t>Attendance</t>
  </si>
  <si>
    <t>P</t>
  </si>
  <si>
    <t>A</t>
  </si>
  <si>
    <t>No of students present</t>
  </si>
  <si>
    <t>No of Students absent</t>
  </si>
  <si>
    <t>Age</t>
  </si>
  <si>
    <t>Gender</t>
  </si>
  <si>
    <t>Female</t>
  </si>
  <si>
    <t>Male</t>
  </si>
  <si>
    <t>Experience</t>
  </si>
  <si>
    <t>Countifs</t>
  </si>
  <si>
    <t>Multiple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</si>
</sst>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4"/>
      <name val="Aptos Narrow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/>
    <xf numFmtId="9" fontId="0" fillId="0" borderId="0" xfId="0" applyNumberFormat="1"/>
    <xf numFmtId="0" fontId="2" fillId="0" borderId="0" xfId="0" applyFont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92F0-BA99-45ED-951F-AC02132FD722}">
  <dimension ref="A1:O19"/>
  <sheetViews>
    <sheetView workbookViewId="0">
      <selection sqref="A1:O3"/>
    </sheetView>
  </sheetViews>
  <sheetFormatPr defaultRowHeight="15" x14ac:dyDescent="0.25"/>
  <cols>
    <col min="1" max="1" width="15.85546875" bestFit="1" customWidth="1"/>
    <col min="8" max="8" width="14.5703125" bestFit="1" customWidth="1"/>
    <col min="14" max="14" width="15.140625" bestFit="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.5" x14ac:dyDescent="0.45">
      <c r="A4" s="3" t="s">
        <v>16</v>
      </c>
      <c r="B4" s="3"/>
      <c r="C4" s="3"/>
      <c r="D4" s="3"/>
      <c r="E4" s="3"/>
      <c r="F4" s="3"/>
      <c r="G4" s="3"/>
      <c r="H4" s="3" t="s">
        <v>14</v>
      </c>
      <c r="I4" s="3" t="s">
        <v>9</v>
      </c>
      <c r="J4" s="3" t="s">
        <v>15</v>
      </c>
      <c r="K4" s="3" t="s">
        <v>10</v>
      </c>
      <c r="L4" s="3" t="s">
        <v>17</v>
      </c>
      <c r="M4" s="3" t="s">
        <v>18</v>
      </c>
      <c r="N4" s="3" t="s">
        <v>19</v>
      </c>
      <c r="O4" s="2"/>
    </row>
    <row r="5" spans="1:15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13</v>
      </c>
      <c r="K5" s="4" t="s">
        <v>10</v>
      </c>
      <c r="L5" s="4" t="s">
        <v>11</v>
      </c>
      <c r="M5" s="4" t="s">
        <v>12</v>
      </c>
      <c r="N5" s="4"/>
    </row>
    <row r="6" spans="1:15" x14ac:dyDescent="0.25">
      <c r="A6" s="4"/>
      <c r="B6" s="4"/>
      <c r="C6" s="4">
        <v>33</v>
      </c>
      <c r="D6" s="4">
        <v>55</v>
      </c>
      <c r="E6" s="4">
        <v>66</v>
      </c>
      <c r="F6" s="4">
        <v>77</v>
      </c>
      <c r="G6" s="4">
        <v>8</v>
      </c>
      <c r="H6" s="4">
        <f>SUM(C6:G6)</f>
        <v>239</v>
      </c>
      <c r="I6" s="4">
        <f>MAX(C6:G6)</f>
        <v>77</v>
      </c>
      <c r="J6" s="4">
        <f>AVERAGE(C6:G6)</f>
        <v>47.8</v>
      </c>
      <c r="K6" s="4">
        <f>MIN(C6:G6)</f>
        <v>8</v>
      </c>
      <c r="L6" s="4" t="str">
        <f>IF(J6&lt;40,"Fail","Pass")</f>
        <v>Pass</v>
      </c>
      <c r="M6" s="4" t="str">
        <f>IF(J6&gt;=90,"A",IF(J6&gt;=80,"B",IF(J6&gt;=70,"C","D")))</f>
        <v>D</v>
      </c>
      <c r="N6" s="4" t="str">
        <f>IF(AND(C6&gt;=40,D6&gt;=40,E6&gt;=40,F6&gt;=40,G6&gt;=40),"Pass","Fail")</f>
        <v>Fail</v>
      </c>
      <c r="O6" t="str">
        <f>IF(C6&gt;=40,"Pass","Fail")&amp;IF(D6&gt;=60,"Pass","Fail")</f>
        <v>FailFail</v>
      </c>
    </row>
    <row r="7" spans="1:15" x14ac:dyDescent="0.25">
      <c r="A7" s="4"/>
      <c r="B7" s="4"/>
      <c r="C7" s="4">
        <v>33</v>
      </c>
      <c r="D7" s="4">
        <v>55</v>
      </c>
      <c r="E7" s="4">
        <v>66</v>
      </c>
      <c r="F7" s="4">
        <v>77</v>
      </c>
      <c r="G7" s="4">
        <v>8</v>
      </c>
      <c r="H7" s="4">
        <f t="shared" ref="H7:H19" si="0">SUM(C7:G7)</f>
        <v>239</v>
      </c>
      <c r="I7" s="4">
        <f>MAX(C7:G7)</f>
        <v>77</v>
      </c>
      <c r="J7" s="4">
        <f>AVERAGE(C7:G7)</f>
        <v>47.8</v>
      </c>
      <c r="K7" s="4">
        <f>MIN(C7:G7)</f>
        <v>8</v>
      </c>
      <c r="L7" s="4" t="str">
        <f>IF(J7&gt;=50,"Fail","Pass")</f>
        <v>Pass</v>
      </c>
      <c r="M7" s="4" t="str">
        <f t="shared" ref="M7:M11" si="1">IF(J7&gt;=90,"A",IF(J7&gt;=80,"B",IF(J7&gt;=70,"C","D")))</f>
        <v>D</v>
      </c>
      <c r="N7" s="4" t="str">
        <f t="shared" ref="N7:N11" si="2">IF(AND(C7&gt;=40,D7&gt;=40,E7&gt;=40,F7&gt;=40,G7&gt;=40),"Pass","Fail")</f>
        <v>Fail</v>
      </c>
    </row>
    <row r="8" spans="1:15" x14ac:dyDescent="0.25">
      <c r="A8" s="4"/>
      <c r="B8" s="4"/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f t="shared" si="0"/>
        <v>500</v>
      </c>
      <c r="I8" s="4"/>
      <c r="J8" s="4">
        <v>90</v>
      </c>
      <c r="K8" s="4"/>
      <c r="L8" s="4"/>
      <c r="M8" s="4" t="str">
        <f t="shared" si="1"/>
        <v>A</v>
      </c>
      <c r="N8" s="4" t="str">
        <f t="shared" si="2"/>
        <v>Pass</v>
      </c>
    </row>
    <row r="9" spans="1:15" x14ac:dyDescent="0.25">
      <c r="A9" s="4"/>
      <c r="B9" s="4"/>
      <c r="C9" s="4"/>
      <c r="D9" s="4"/>
      <c r="E9" s="4"/>
      <c r="F9" s="4"/>
      <c r="G9" s="4"/>
      <c r="H9" s="4">
        <f t="shared" si="0"/>
        <v>0</v>
      </c>
      <c r="I9" s="4"/>
      <c r="J9" s="4">
        <v>80</v>
      </c>
      <c r="K9" s="4"/>
      <c r="L9" s="4"/>
      <c r="M9" s="4" t="str">
        <f t="shared" si="1"/>
        <v>B</v>
      </c>
      <c r="N9" s="4" t="str">
        <f t="shared" si="2"/>
        <v>Fail</v>
      </c>
    </row>
    <row r="10" spans="1:15" x14ac:dyDescent="0.25">
      <c r="A10" s="4"/>
      <c r="B10" s="4"/>
      <c r="C10" s="4"/>
      <c r="D10" s="4"/>
      <c r="E10" s="4"/>
      <c r="F10" s="4"/>
      <c r="G10" s="4"/>
      <c r="H10" s="4">
        <f t="shared" si="0"/>
        <v>0</v>
      </c>
      <c r="I10" s="4"/>
      <c r="J10" s="4">
        <v>70</v>
      </c>
      <c r="K10" s="4"/>
      <c r="L10" s="4"/>
      <c r="M10" s="4" t="str">
        <f t="shared" si="1"/>
        <v>C</v>
      </c>
      <c r="N10" s="4" t="str">
        <f t="shared" si="2"/>
        <v>Fail</v>
      </c>
    </row>
    <row r="11" spans="1:15" x14ac:dyDescent="0.25">
      <c r="A11" s="4"/>
      <c r="B11" s="4"/>
      <c r="C11" s="4"/>
      <c r="D11" s="4"/>
      <c r="E11" s="4"/>
      <c r="F11" s="4"/>
      <c r="G11" s="4"/>
      <c r="H11" s="4">
        <f t="shared" si="0"/>
        <v>0</v>
      </c>
      <c r="I11" s="4"/>
      <c r="J11" s="4">
        <v>50</v>
      </c>
      <c r="K11" s="4"/>
      <c r="L11" s="4"/>
      <c r="M11" s="4" t="str">
        <f t="shared" si="1"/>
        <v>D</v>
      </c>
      <c r="N11" s="4" t="str">
        <f t="shared" si="2"/>
        <v>Fail</v>
      </c>
    </row>
    <row r="12" spans="1:15" x14ac:dyDescent="0.25">
      <c r="H12" s="4">
        <f t="shared" si="0"/>
        <v>0</v>
      </c>
    </row>
    <row r="13" spans="1:15" x14ac:dyDescent="0.25">
      <c r="H13" s="4">
        <f t="shared" si="0"/>
        <v>0</v>
      </c>
    </row>
    <row r="14" spans="1:15" x14ac:dyDescent="0.25">
      <c r="C14">
        <v>33</v>
      </c>
      <c r="D14">
        <v>55</v>
      </c>
      <c r="E14">
        <v>66</v>
      </c>
      <c r="F14">
        <v>77</v>
      </c>
      <c r="G14">
        <v>8</v>
      </c>
      <c r="H14" s="4">
        <f t="shared" si="0"/>
        <v>239</v>
      </c>
      <c r="I14">
        <f>MAX(C14:G14)</f>
        <v>77</v>
      </c>
      <c r="J14">
        <f>AVERAGE(C14:G14)</f>
        <v>47.8</v>
      </c>
      <c r="K14">
        <f>MIN(C14:G14)</f>
        <v>8</v>
      </c>
      <c r="L14" t="str">
        <f>IF(J14&lt;40,"Fail","Pass")</f>
        <v>Pass</v>
      </c>
      <c r="M14" t="str">
        <f>IF(J14&gt;=90,"A",IF(J14&gt;=80,"B",IF(J14&gt;=70,"C",IF(J14&gt;70,"D",IF(J14&gt;60,"E",IF(J14&lt;60,"F"))))))</f>
        <v>F</v>
      </c>
    </row>
    <row r="15" spans="1:15" x14ac:dyDescent="0.25">
      <c r="C15">
        <v>33</v>
      </c>
      <c r="D15">
        <v>55</v>
      </c>
      <c r="E15">
        <v>66</v>
      </c>
      <c r="F15">
        <v>77</v>
      </c>
      <c r="G15">
        <v>8</v>
      </c>
      <c r="H15" s="4">
        <f t="shared" si="0"/>
        <v>239</v>
      </c>
      <c r="I15">
        <f>MAX(C15:G15)</f>
        <v>77</v>
      </c>
      <c r="J15">
        <f>AVERAGE(C15:G15)</f>
        <v>47.8</v>
      </c>
      <c r="K15">
        <f>MIN(C15:G15)</f>
        <v>8</v>
      </c>
      <c r="L15" t="str">
        <f>IF(J15&gt;=50,"Fail","Pass")</f>
        <v>Pass</v>
      </c>
      <c r="M15" t="str">
        <f t="shared" ref="M15:M19" si="3">IF(J15&gt;=90,"A",IF(J15&gt;=80,"B",IF(J15&gt;=70,"C",IF(J15&gt;70,"D",IF(J15&gt;60,"E",IF(J15&lt;60,"F"))))))</f>
        <v>F</v>
      </c>
    </row>
    <row r="16" spans="1:15" x14ac:dyDescent="0.25">
      <c r="H16" s="4">
        <f t="shared" si="0"/>
        <v>0</v>
      </c>
      <c r="J16">
        <v>90</v>
      </c>
      <c r="M16" t="str">
        <f t="shared" si="3"/>
        <v>A</v>
      </c>
    </row>
    <row r="17" spans="8:13" x14ac:dyDescent="0.25">
      <c r="H17" s="4">
        <f t="shared" si="0"/>
        <v>0</v>
      </c>
      <c r="J17">
        <v>80</v>
      </c>
      <c r="M17" t="str">
        <f t="shared" si="3"/>
        <v>B</v>
      </c>
    </row>
    <row r="18" spans="8:13" x14ac:dyDescent="0.25">
      <c r="H18" s="4">
        <f t="shared" si="0"/>
        <v>0</v>
      </c>
      <c r="J18">
        <v>70</v>
      </c>
      <c r="M18" t="str">
        <f t="shared" si="3"/>
        <v>C</v>
      </c>
    </row>
    <row r="19" spans="8:13" x14ac:dyDescent="0.25">
      <c r="H19" s="4">
        <f t="shared" si="0"/>
        <v>0</v>
      </c>
      <c r="J19">
        <v>50</v>
      </c>
      <c r="M19" t="str">
        <f t="shared" si="3"/>
        <v>F</v>
      </c>
    </row>
  </sheetData>
  <mergeCells count="1">
    <mergeCell ref="A1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165A-6702-40CC-AD38-494AB7DCB2A1}">
  <dimension ref="A1:R19"/>
  <sheetViews>
    <sheetView workbookViewId="0">
      <selection sqref="A1:P3"/>
    </sheetView>
  </sheetViews>
  <sheetFormatPr defaultRowHeight="15" x14ac:dyDescent="0.25"/>
  <cols>
    <col min="1" max="1" width="10.140625" bestFit="1" customWidth="1"/>
    <col min="2" max="2" width="5.42578125" bestFit="1" customWidth="1"/>
    <col min="3" max="3" width="4.140625" bestFit="1" customWidth="1"/>
    <col min="4" max="4" width="5.5703125" bestFit="1" customWidth="1"/>
    <col min="5" max="5" width="8" bestFit="1" customWidth="1"/>
    <col min="6" max="6" width="13.140625" bestFit="1" customWidth="1"/>
    <col min="7" max="7" width="13.28515625" bestFit="1" customWidth="1"/>
    <col min="8" max="8" width="9.7109375" bestFit="1" customWidth="1"/>
  </cols>
  <sheetData>
    <row r="1" spans="1:18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5"/>
      <c r="R1" s="5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5"/>
      <c r="R2" s="5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5"/>
      <c r="R3" s="5"/>
    </row>
    <row r="4" spans="1:18" x14ac:dyDescent="0.25">
      <c r="A4" s="5" t="s">
        <v>16</v>
      </c>
      <c r="B4" s="5"/>
      <c r="C4" s="5"/>
      <c r="D4" s="5"/>
      <c r="E4" s="5"/>
      <c r="F4" s="5"/>
      <c r="G4" s="5" t="s">
        <v>17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25">
      <c r="A5" t="s">
        <v>21</v>
      </c>
      <c r="B5" t="s">
        <v>22</v>
      </c>
      <c r="C5" t="s">
        <v>23</v>
      </c>
      <c r="D5" t="s">
        <v>27</v>
      </c>
      <c r="E5" t="s">
        <v>29</v>
      </c>
      <c r="F5" t="s">
        <v>24</v>
      </c>
      <c r="G5" t="s">
        <v>25</v>
      </c>
      <c r="H5" t="s">
        <v>26</v>
      </c>
    </row>
    <row r="6" spans="1:18" ht="16.5" x14ac:dyDescent="0.3">
      <c r="A6">
        <v>101</v>
      </c>
      <c r="B6">
        <v>200</v>
      </c>
      <c r="C6">
        <v>5</v>
      </c>
      <c r="D6" t="s">
        <v>28</v>
      </c>
      <c r="E6" t="s">
        <v>30</v>
      </c>
      <c r="F6">
        <f>B6*C6</f>
        <v>1000</v>
      </c>
      <c r="G6">
        <f>F6*5%</f>
        <v>50</v>
      </c>
      <c r="H6">
        <f>F6-G6</f>
        <v>950</v>
      </c>
      <c r="I6" s="7"/>
    </row>
    <row r="7" spans="1:18" x14ac:dyDescent="0.25">
      <c r="A7">
        <v>102</v>
      </c>
      <c r="B7">
        <v>200</v>
      </c>
      <c r="C7">
        <v>5</v>
      </c>
      <c r="E7" t="s">
        <v>31</v>
      </c>
      <c r="F7">
        <v>500</v>
      </c>
      <c r="G7">
        <f>F7*5%</f>
        <v>25</v>
      </c>
      <c r="H7">
        <f>F7-G7</f>
        <v>475</v>
      </c>
    </row>
    <row r="8" spans="1:18" x14ac:dyDescent="0.25">
      <c r="A8">
        <v>103</v>
      </c>
      <c r="B8">
        <v>200</v>
      </c>
      <c r="C8">
        <v>5</v>
      </c>
      <c r="D8" t="s">
        <v>28</v>
      </c>
      <c r="E8" t="s">
        <v>32</v>
      </c>
      <c r="F8">
        <f>B8*C8</f>
        <v>1000</v>
      </c>
      <c r="G8">
        <f>IF(F8&gt;=500,F8*10%,F8*5%)</f>
        <v>100</v>
      </c>
    </row>
    <row r="9" spans="1:18" x14ac:dyDescent="0.25">
      <c r="A9">
        <v>104</v>
      </c>
      <c r="B9">
        <v>200</v>
      </c>
      <c r="C9">
        <v>5</v>
      </c>
      <c r="F9">
        <v>500</v>
      </c>
      <c r="G9">
        <f>IF(F9&gt;=600,F9*10%,F9*5%)</f>
        <v>25</v>
      </c>
    </row>
    <row r="11" spans="1:18" x14ac:dyDescent="0.25">
      <c r="G11" t="s">
        <v>33</v>
      </c>
      <c r="I11" t="s">
        <v>34</v>
      </c>
    </row>
    <row r="12" spans="1:18" x14ac:dyDescent="0.25">
      <c r="A12" t="s">
        <v>21</v>
      </c>
      <c r="B12" t="s">
        <v>22</v>
      </c>
      <c r="C12" t="s">
        <v>23</v>
      </c>
      <c r="D12" t="s">
        <v>27</v>
      </c>
      <c r="E12" t="s">
        <v>29</v>
      </c>
      <c r="F12" t="s">
        <v>24</v>
      </c>
      <c r="G12" t="s">
        <v>25</v>
      </c>
      <c r="H12" t="s">
        <v>26</v>
      </c>
      <c r="I12" t="s">
        <v>25</v>
      </c>
    </row>
    <row r="13" spans="1:18" x14ac:dyDescent="0.25">
      <c r="A13">
        <v>101</v>
      </c>
      <c r="B13">
        <v>200</v>
      </c>
      <c r="C13">
        <v>5</v>
      </c>
      <c r="D13" t="s">
        <v>28</v>
      </c>
      <c r="E13" t="s">
        <v>30</v>
      </c>
      <c r="F13">
        <f>B13*C13</f>
        <v>1000</v>
      </c>
      <c r="G13" cm="1">
        <f t="array" ref="G13:G15">IF(VLOOKUP(E13:E15,E17:F19,2,0),F13:F15*F17:F19)</f>
        <v>50</v>
      </c>
      <c r="H13">
        <f>F13-G13</f>
        <v>950</v>
      </c>
      <c r="I13">
        <f>IF(E13=E$17,F13*5%,IF(E13=E$18,F13*10%,IF(E13=E$19,F13*15%)))</f>
        <v>50</v>
      </c>
    </row>
    <row r="14" spans="1:18" x14ac:dyDescent="0.25">
      <c r="A14">
        <v>102</v>
      </c>
      <c r="B14">
        <v>200</v>
      </c>
      <c r="C14">
        <v>5</v>
      </c>
      <c r="E14" t="s">
        <v>31</v>
      </c>
      <c r="F14">
        <f t="shared" ref="F14:F15" si="0">B14*C14</f>
        <v>1000</v>
      </c>
      <c r="G14">
        <v>100</v>
      </c>
      <c r="H14">
        <f t="shared" ref="H14:H15" si="1">F14-G14</f>
        <v>900</v>
      </c>
      <c r="I14">
        <f t="shared" ref="I14:I15" si="2">IF(E14=E$17,F14*5%,IF(E14=E$18,F14*10%,IF(E14=E$19,F14*15%)))</f>
        <v>100</v>
      </c>
    </row>
    <row r="15" spans="1:18" x14ac:dyDescent="0.25">
      <c r="A15">
        <v>103</v>
      </c>
      <c r="B15">
        <v>200</v>
      </c>
      <c r="C15">
        <v>5</v>
      </c>
      <c r="D15" t="s">
        <v>28</v>
      </c>
      <c r="E15" t="s">
        <v>32</v>
      </c>
      <c r="F15">
        <f t="shared" si="0"/>
        <v>1000</v>
      </c>
      <c r="G15">
        <v>150</v>
      </c>
      <c r="H15">
        <f t="shared" si="1"/>
        <v>850</v>
      </c>
      <c r="I15">
        <f t="shared" si="2"/>
        <v>150</v>
      </c>
    </row>
    <row r="17" spans="5:6" x14ac:dyDescent="0.25">
      <c r="E17" t="s">
        <v>30</v>
      </c>
      <c r="F17" s="6">
        <v>0.05</v>
      </c>
    </row>
    <row r="18" spans="5:6" x14ac:dyDescent="0.25">
      <c r="E18" t="s">
        <v>31</v>
      </c>
      <c r="F18" s="6">
        <v>0.1</v>
      </c>
    </row>
    <row r="19" spans="5:6" x14ac:dyDescent="0.25">
      <c r="E19" t="s">
        <v>32</v>
      </c>
      <c r="F19" s="6">
        <v>0.15</v>
      </c>
    </row>
  </sheetData>
  <mergeCells count="1">
    <mergeCell ref="A1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444D-904F-4DC9-9F4E-BF07292EA80D}">
  <dimension ref="A1:P37"/>
  <sheetViews>
    <sheetView topLeftCell="A6" workbookViewId="0">
      <selection activeCell="N38" sqref="N38"/>
    </sheetView>
  </sheetViews>
  <sheetFormatPr defaultRowHeight="15" x14ac:dyDescent="0.25"/>
  <cols>
    <col min="1" max="1" width="7.140625" bestFit="1" customWidth="1"/>
    <col min="2" max="2" width="6.28515625" bestFit="1" customWidth="1"/>
    <col min="3" max="3" width="5.42578125" bestFit="1" customWidth="1"/>
    <col min="4" max="4" width="9.140625" bestFit="1" customWidth="1"/>
    <col min="5" max="5" width="9.7109375" bestFit="1" customWidth="1"/>
    <col min="6" max="6" width="9.5703125" bestFit="1" customWidth="1"/>
    <col min="7" max="7" width="8.5703125" bestFit="1" customWidth="1"/>
    <col min="8" max="8" width="8.140625" bestFit="1" customWidth="1"/>
    <col min="9" max="9" width="22.85546875" bestFit="1" customWidth="1"/>
    <col min="10" max="10" width="17.28515625" bestFit="1" customWidth="1"/>
  </cols>
  <sheetData>
    <row r="1" spans="1:16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6" spans="1:16" x14ac:dyDescent="0.25">
      <c r="A6" t="s">
        <v>35</v>
      </c>
      <c r="B6" t="s">
        <v>36</v>
      </c>
      <c r="C6" t="s">
        <v>37</v>
      </c>
      <c r="D6" t="s">
        <v>42</v>
      </c>
      <c r="E6" t="s">
        <v>43</v>
      </c>
      <c r="F6" t="s">
        <v>44</v>
      </c>
      <c r="G6" t="s">
        <v>45</v>
      </c>
      <c r="H6" t="s">
        <v>48</v>
      </c>
      <c r="I6" t="s">
        <v>49</v>
      </c>
    </row>
    <row r="7" spans="1:16" x14ac:dyDescent="0.25">
      <c r="A7">
        <v>101</v>
      </c>
      <c r="B7" t="s">
        <v>41</v>
      </c>
      <c r="C7">
        <v>2000</v>
      </c>
      <c r="D7">
        <f>C7*10%</f>
        <v>200</v>
      </c>
      <c r="E7">
        <f>C7*12%</f>
        <v>240</v>
      </c>
      <c r="F7">
        <f>C$7*15%</f>
        <v>300</v>
      </c>
      <c r="G7">
        <f>C$7*20%</f>
        <v>400</v>
      </c>
      <c r="H7">
        <f>SUM(C7:F7)</f>
        <v>2740</v>
      </c>
      <c r="I7">
        <f>H7-G7</f>
        <v>2340</v>
      </c>
    </row>
    <row r="11" spans="1:16" x14ac:dyDescent="0.25">
      <c r="A11" s="1" t="s">
        <v>47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8.5" x14ac:dyDescent="0.45">
      <c r="A14" s="4" t="s">
        <v>35</v>
      </c>
      <c r="B14" s="4" t="s">
        <v>36</v>
      </c>
      <c r="C14" s="4" t="s">
        <v>37</v>
      </c>
      <c r="D14" s="4" t="s">
        <v>50</v>
      </c>
      <c r="E14" s="4" t="s">
        <v>42</v>
      </c>
      <c r="F14" s="4" t="s">
        <v>43</v>
      </c>
      <c r="G14" s="4" t="s">
        <v>44</v>
      </c>
      <c r="H14" s="4" t="s">
        <v>45</v>
      </c>
      <c r="I14" s="4" t="s">
        <v>48</v>
      </c>
      <c r="J14" s="4" t="s">
        <v>49</v>
      </c>
      <c r="K14" s="2"/>
      <c r="L14" s="2"/>
      <c r="M14" s="2"/>
      <c r="N14" s="2"/>
      <c r="O14" s="2"/>
      <c r="P14" s="2"/>
    </row>
    <row r="15" spans="1:16" x14ac:dyDescent="0.25">
      <c r="A15" s="4">
        <v>101</v>
      </c>
      <c r="B15" s="4" t="s">
        <v>41</v>
      </c>
      <c r="C15" s="4">
        <v>2000</v>
      </c>
      <c r="D15" s="4" t="s">
        <v>51</v>
      </c>
      <c r="E15" s="4">
        <f>IF(C$15&gt;=5000,C$15*5%,C$15*15%)</f>
        <v>300</v>
      </c>
      <c r="F15" s="4">
        <f>IF(D15="Metro",C15*5%,C15*10%)</f>
        <v>100</v>
      </c>
      <c r="G15" s="4">
        <f>IF(C15&lt;=5000,500,C15*E29)</f>
        <v>500</v>
      </c>
      <c r="H15" s="4">
        <f>C15*20%</f>
        <v>400</v>
      </c>
      <c r="I15" s="4" cm="1">
        <f t="array" ref="I15">SUM(C15+E15:G15)</f>
        <v>6900</v>
      </c>
      <c r="J15" s="4">
        <f>I15-H15</f>
        <v>6500</v>
      </c>
    </row>
    <row r="16" spans="1:16" x14ac:dyDescent="0.25">
      <c r="A16" s="4"/>
      <c r="B16" s="4"/>
      <c r="C16" s="4">
        <v>7000</v>
      </c>
      <c r="D16" s="4" t="s">
        <v>52</v>
      </c>
      <c r="E16" s="4">
        <f>IF(C$16&gt;=5000,C$16*5%,C$16*15%)</f>
        <v>350</v>
      </c>
      <c r="F16" s="4">
        <f>IF(D16="Metro",C16*5%,C16*10%)</f>
        <v>700</v>
      </c>
      <c r="G16" s="4">
        <f>IF(C16&lt;=5000,500,C16*E29)</f>
        <v>840</v>
      </c>
      <c r="H16" s="4">
        <f>C16*20%</f>
        <v>1400</v>
      </c>
      <c r="I16" s="4" cm="1">
        <f t="array" ref="I16">SUM(C16+E16:G16)</f>
        <v>22890</v>
      </c>
      <c r="J16" s="4">
        <f>I16-H16</f>
        <v>21490</v>
      </c>
    </row>
    <row r="17" spans="1:1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9" spans="1:16" x14ac:dyDescent="0.25">
      <c r="D19" t="s">
        <v>38</v>
      </c>
    </row>
    <row r="20" spans="1:16" x14ac:dyDescent="0.25">
      <c r="D20">
        <v>5000</v>
      </c>
      <c r="E20" s="6">
        <v>0.05</v>
      </c>
    </row>
    <row r="21" spans="1:16" x14ac:dyDescent="0.25">
      <c r="D21" t="s">
        <v>53</v>
      </c>
      <c r="E21" s="6">
        <v>0.1</v>
      </c>
    </row>
    <row r="22" spans="1:16" x14ac:dyDescent="0.25">
      <c r="E22" s="6"/>
    </row>
    <row r="23" spans="1:16" x14ac:dyDescent="0.25">
      <c r="D23" t="s">
        <v>39</v>
      </c>
    </row>
    <row r="24" spans="1:16" x14ac:dyDescent="0.25">
      <c r="D24" t="s">
        <v>51</v>
      </c>
      <c r="E24" s="6">
        <v>0.05</v>
      </c>
    </row>
    <row r="25" spans="1:16" x14ac:dyDescent="0.25">
      <c r="D25" t="s">
        <v>54</v>
      </c>
      <c r="E25" s="6">
        <v>0.1</v>
      </c>
    </row>
    <row r="27" spans="1:16" x14ac:dyDescent="0.25">
      <c r="D27" t="s">
        <v>40</v>
      </c>
    </row>
    <row r="28" spans="1:16" x14ac:dyDescent="0.25">
      <c r="D28" t="s">
        <v>55</v>
      </c>
      <c r="E28">
        <v>500</v>
      </c>
    </row>
    <row r="29" spans="1:16" x14ac:dyDescent="0.25">
      <c r="D29" t="s">
        <v>56</v>
      </c>
      <c r="E29" s="6">
        <v>0.12</v>
      </c>
    </row>
    <row r="32" spans="1:16" x14ac:dyDescent="0.25">
      <c r="A32" s="1" t="s">
        <v>57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4" t="s">
        <v>35</v>
      </c>
      <c r="B35" s="4" t="s">
        <v>36</v>
      </c>
      <c r="C35" s="4" t="s">
        <v>37</v>
      </c>
      <c r="D35" s="4" t="s">
        <v>42</v>
      </c>
      <c r="E35" s="8" t="s">
        <v>58</v>
      </c>
      <c r="F35" s="4" t="s">
        <v>43</v>
      </c>
      <c r="G35" s="4" t="s">
        <v>44</v>
      </c>
      <c r="H35" s="4" t="s">
        <v>45</v>
      </c>
      <c r="I35" s="9" t="s">
        <v>48</v>
      </c>
      <c r="J35" s="11" t="s">
        <v>59</v>
      </c>
      <c r="K35" s="10" t="s">
        <v>49</v>
      </c>
    </row>
    <row r="36" spans="1:16" x14ac:dyDescent="0.25">
      <c r="A36">
        <v>101</v>
      </c>
      <c r="B36" t="s">
        <v>41</v>
      </c>
      <c r="C36">
        <v>2000</v>
      </c>
      <c r="D36">
        <f>C36*10%</f>
        <v>200</v>
      </c>
      <c r="E36">
        <v>5</v>
      </c>
      <c r="F36">
        <f>C36*12%</f>
        <v>240</v>
      </c>
      <c r="G36">
        <f>C36*15%</f>
        <v>300</v>
      </c>
      <c r="H36">
        <f>C36*20%</f>
        <v>400</v>
      </c>
      <c r="I36">
        <f>SUM(C36:G36)</f>
        <v>2745</v>
      </c>
      <c r="J36" s="4">
        <f>C36/30*E36</f>
        <v>333.33333333333337</v>
      </c>
      <c r="K36">
        <f>I36-J36-H36</f>
        <v>2011.6666666666665</v>
      </c>
    </row>
    <row r="37" spans="1:16" x14ac:dyDescent="0.25">
      <c r="A37">
        <v>102</v>
      </c>
      <c r="B37" t="s">
        <v>60</v>
      </c>
      <c r="C37">
        <v>4000</v>
      </c>
      <c r="D37">
        <f>C37*10%</f>
        <v>400</v>
      </c>
      <c r="E37">
        <v>5</v>
      </c>
      <c r="F37">
        <f>C37*12%</f>
        <v>480</v>
      </c>
      <c r="G37">
        <f>C37*15%</f>
        <v>600</v>
      </c>
      <c r="H37">
        <f>C37*20%</f>
        <v>800</v>
      </c>
      <c r="I37">
        <f>SUM(C37:G37)</f>
        <v>5485</v>
      </c>
      <c r="J37" s="4">
        <f>C37/30*E37</f>
        <v>666.66666666666674</v>
      </c>
      <c r="K37">
        <f>I37-J37-H37</f>
        <v>4018.333333333333</v>
      </c>
    </row>
  </sheetData>
  <mergeCells count="3">
    <mergeCell ref="A1:P3"/>
    <mergeCell ref="A11:P13"/>
    <mergeCell ref="A32:P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580D-68B8-4A7F-845F-B545F2134B24}">
  <dimension ref="A2:Q30"/>
  <sheetViews>
    <sheetView tabSelected="1" workbookViewId="0">
      <selection activeCell="M12" sqref="M12"/>
    </sheetView>
  </sheetViews>
  <sheetFormatPr defaultRowHeight="15" x14ac:dyDescent="0.25"/>
  <cols>
    <col min="4" max="4" width="45.28515625" bestFit="1" customWidth="1"/>
  </cols>
  <sheetData>
    <row r="2" spans="1:17" x14ac:dyDescent="0.25">
      <c r="A2" t="s">
        <v>61</v>
      </c>
    </row>
    <row r="3" spans="1:17" x14ac:dyDescent="0.25">
      <c r="A3" t="s">
        <v>62</v>
      </c>
      <c r="K3" t="s">
        <v>76</v>
      </c>
      <c r="L3" t="s">
        <v>77</v>
      </c>
      <c r="P3" t="s">
        <v>36</v>
      </c>
      <c r="Q3" t="s">
        <v>80</v>
      </c>
    </row>
    <row r="4" spans="1:17" x14ac:dyDescent="0.25">
      <c r="A4">
        <v>200</v>
      </c>
      <c r="K4">
        <v>20</v>
      </c>
      <c r="L4" t="s">
        <v>78</v>
      </c>
      <c r="P4">
        <v>50000</v>
      </c>
      <c r="Q4">
        <v>5</v>
      </c>
    </row>
    <row r="5" spans="1:17" x14ac:dyDescent="0.25">
      <c r="A5" t="s">
        <v>63</v>
      </c>
      <c r="K5">
        <v>12</v>
      </c>
      <c r="L5" t="s">
        <v>79</v>
      </c>
      <c r="P5">
        <f>P4*2</f>
        <v>100000</v>
      </c>
      <c r="Q5">
        <v>10</v>
      </c>
    </row>
    <row r="6" spans="1:17" x14ac:dyDescent="0.25">
      <c r="A6">
        <v>400</v>
      </c>
      <c r="K6">
        <v>32</v>
      </c>
      <c r="L6" t="s">
        <v>78</v>
      </c>
      <c r="P6">
        <f>P5*2</f>
        <v>200000</v>
      </c>
      <c r="Q6">
        <v>15</v>
      </c>
    </row>
    <row r="7" spans="1:17" x14ac:dyDescent="0.25">
      <c r="A7" t="s">
        <v>64</v>
      </c>
      <c r="K7">
        <v>18</v>
      </c>
      <c r="L7" t="s">
        <v>79</v>
      </c>
      <c r="P7">
        <f>P6*2</f>
        <v>400000</v>
      </c>
      <c r="Q7">
        <v>20</v>
      </c>
    </row>
    <row r="8" spans="1:17" x14ac:dyDescent="0.25">
      <c r="A8">
        <v>200</v>
      </c>
      <c r="K8">
        <v>12</v>
      </c>
      <c r="L8" t="s">
        <v>79</v>
      </c>
    </row>
    <row r="9" spans="1:17" x14ac:dyDescent="0.25">
      <c r="A9">
        <f>COUNT(A3:A8)</f>
        <v>3</v>
      </c>
      <c r="B9">
        <f>COUNTA(A3:A8)</f>
        <v>6</v>
      </c>
      <c r="Q9">
        <f>COUNTIFS(Q4:Q7,"&gt;10",P4:P7,"&gt;200000")</f>
        <v>1</v>
      </c>
    </row>
    <row r="10" spans="1:17" x14ac:dyDescent="0.25">
      <c r="A10" t="s">
        <v>65</v>
      </c>
      <c r="B10" t="s">
        <v>66</v>
      </c>
      <c r="L10">
        <f>COUNTIF(K4:L8,"Female")</f>
        <v>2</v>
      </c>
    </row>
    <row r="11" spans="1:17" x14ac:dyDescent="0.25">
      <c r="K11" t="s">
        <v>81</v>
      </c>
      <c r="L11">
        <f>COUNTIFS(L4:L8,"Female",K4:K8,"&gt;20")</f>
        <v>1</v>
      </c>
      <c r="M11" t="s">
        <v>82</v>
      </c>
    </row>
    <row r="12" spans="1:17" x14ac:dyDescent="0.25">
      <c r="A12">
        <f>SUM(A3:A8)</f>
        <v>800</v>
      </c>
    </row>
    <row r="14" spans="1:17" x14ac:dyDescent="0.25">
      <c r="A14" t="s">
        <v>67</v>
      </c>
      <c r="D14" t="s">
        <v>69</v>
      </c>
      <c r="G14" t="s">
        <v>71</v>
      </c>
    </row>
    <row r="15" spans="1:17" x14ac:dyDescent="0.25">
      <c r="A15">
        <v>2000</v>
      </c>
      <c r="D15">
        <v>30</v>
      </c>
      <c r="G15" t="s">
        <v>72</v>
      </c>
    </row>
    <row r="16" spans="1:17" x14ac:dyDescent="0.25">
      <c r="A16">
        <v>4000</v>
      </c>
      <c r="D16">
        <v>50</v>
      </c>
      <c r="G16" t="s">
        <v>72</v>
      </c>
    </row>
    <row r="17" spans="1:7" x14ac:dyDescent="0.25">
      <c r="A17">
        <v>60000</v>
      </c>
      <c r="D17">
        <v>70</v>
      </c>
      <c r="G17" t="s">
        <v>73</v>
      </c>
    </row>
    <row r="18" spans="1:7" x14ac:dyDescent="0.25">
      <c r="A18">
        <v>10000</v>
      </c>
      <c r="D18">
        <v>20</v>
      </c>
      <c r="G18" t="s">
        <v>72</v>
      </c>
    </row>
    <row r="19" spans="1:7" x14ac:dyDescent="0.25">
      <c r="A19">
        <v>7000</v>
      </c>
      <c r="D19">
        <v>40</v>
      </c>
      <c r="G19" t="s">
        <v>73</v>
      </c>
    </row>
    <row r="20" spans="1:7" x14ac:dyDescent="0.25">
      <c r="A20">
        <v>9000</v>
      </c>
      <c r="D20">
        <v>10</v>
      </c>
      <c r="G20" t="s">
        <v>73</v>
      </c>
    </row>
    <row r="21" spans="1:7" x14ac:dyDescent="0.25">
      <c r="A21">
        <f>COUNTIF(A15:A20,"&gt;4000")</f>
        <v>4</v>
      </c>
      <c r="D21">
        <v>70</v>
      </c>
      <c r="G21" t="s">
        <v>73</v>
      </c>
    </row>
    <row r="22" spans="1:7" x14ac:dyDescent="0.25">
      <c r="A22" t="s">
        <v>68</v>
      </c>
      <c r="D22" t="s">
        <v>70</v>
      </c>
      <c r="G22" t="s">
        <v>73</v>
      </c>
    </row>
    <row r="23" spans="1:7" x14ac:dyDescent="0.25">
      <c r="D23">
        <f>COUNTIF(D15:D21,"&gt;=40")</f>
        <v>4</v>
      </c>
      <c r="G23" t="s">
        <v>73</v>
      </c>
    </row>
    <row r="24" spans="1:7" x14ac:dyDescent="0.25">
      <c r="G24" t="s">
        <v>72</v>
      </c>
    </row>
    <row r="25" spans="1:7" x14ac:dyDescent="0.25">
      <c r="G25" t="s">
        <v>72</v>
      </c>
    </row>
    <row r="26" spans="1:7" x14ac:dyDescent="0.25">
      <c r="G26" t="s">
        <v>74</v>
      </c>
    </row>
    <row r="27" spans="1:7" x14ac:dyDescent="0.25">
      <c r="G27" t="s">
        <v>75</v>
      </c>
    </row>
    <row r="29" spans="1:7" x14ac:dyDescent="0.25">
      <c r="G29">
        <f>COUNTIF(G15:G25,"P")</f>
        <v>5</v>
      </c>
    </row>
    <row r="30" spans="1:7" x14ac:dyDescent="0.25">
      <c r="G30">
        <f>COUNTIF(G15:G25,"A")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Pooja rajasekar</dc:creator>
  <cp:lastModifiedBy>K Pooja rajasekar</cp:lastModifiedBy>
  <dcterms:created xsi:type="dcterms:W3CDTF">2026-08-29T07:54:34Z</dcterms:created>
  <dcterms:modified xsi:type="dcterms:W3CDTF">2026-08-30T13:44:22Z</dcterms:modified>
</cp:coreProperties>
</file>